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Revenue Model" sheetId="2" state="visible" r:id="rId2"/>
    <sheet xmlns:r="http://schemas.openxmlformats.org/officeDocument/2006/relationships" name="Unit Economics" sheetId="3" state="visible" r:id="rId3"/>
    <sheet xmlns:r="http://schemas.openxmlformats.org/officeDocument/2006/relationships" name="P&amp;L (Income Statement)" sheetId="4" state="visible" r:id="rId4"/>
    <sheet xmlns:r="http://schemas.openxmlformats.org/officeDocument/2006/relationships" name="Headcount Plan" sheetId="5" state="visible" r:id="rId5"/>
    <sheet xmlns:r="http://schemas.openxmlformats.org/officeDocument/2006/relationships" name="Cash Flow" sheetId="6" state="visible" r:id="rId6"/>
    <sheet xmlns:r="http://schemas.openxmlformats.org/officeDocument/2006/relationships" name="Assum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"/>
    <numFmt numFmtId="165" formatCode="0.0%"/>
    <numFmt numFmtId="166" formatCode="$#,##0.00"/>
    <numFmt numFmtId="167" formatCode="0.0x"/>
    <numFmt numFmtId="168" formatCode="0.0"/>
  </numFmts>
  <fonts count="12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color rgb="00008000"/>
      <sz val="10"/>
    </font>
    <font>
      <name val="Arial"/>
      <b val="1"/>
      <sz val="12"/>
    </font>
    <font>
      <name val="Arial"/>
      <b val="1"/>
      <sz val="11"/>
    </font>
    <font>
      <name val="Arial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FFF00"/>
        <bgColor rgb="00FFFF00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164" fontId="5" fillId="0" borderId="0" applyAlignment="1" pivotButton="0" quotePrefix="0" xfId="0">
      <alignment horizontal="right"/>
    </xf>
    <xf numFmtId="1" fontId="5" fillId="0" borderId="0" applyAlignment="1" pivotButton="0" quotePrefix="0" xfId="0">
      <alignment horizontal="right"/>
    </xf>
    <xf numFmtId="165" fontId="5" fillId="0" borderId="0" applyAlignment="1" pivotButton="0" quotePrefix="0" xfId="0">
      <alignment horizontal="right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164" fontId="9" fillId="3" borderId="0" pivotButton="0" quotePrefix="0" xfId="0"/>
    <xf numFmtId="166" fontId="9" fillId="3" borderId="0" pivotButton="0" quotePrefix="0" xfId="0"/>
    <xf numFmtId="0" fontId="10" fillId="2" borderId="1" applyAlignment="1" pivotButton="0" quotePrefix="0" xfId="0">
      <alignment horizontal="center"/>
    </xf>
    <xf numFmtId="1" fontId="9" fillId="3" borderId="0" pivotButton="0" quotePrefix="0" xfId="0"/>
    <xf numFmtId="1" fontId="11" fillId="0" borderId="0" pivotButton="0" quotePrefix="0" xfId="0"/>
    <xf numFmtId="164" fontId="11" fillId="0" borderId="0" pivotButton="0" quotePrefix="0" xfId="0"/>
    <xf numFmtId="164" fontId="11" fillId="4" borderId="0" pivotButton="0" quotePrefix="0" xfId="0"/>
    <xf numFmtId="164" fontId="5" fillId="0" borderId="0" pivotButton="0" quotePrefix="0" xfId="0"/>
    <xf numFmtId="165" fontId="5" fillId="0" borderId="0" pivotButton="0" quotePrefix="0" xfId="0"/>
    <xf numFmtId="165" fontId="9" fillId="3" borderId="0" pivotButton="0" quotePrefix="0" xfId="0"/>
    <xf numFmtId="167" fontId="11" fillId="0" borderId="0" pivotButton="0" quotePrefix="0" xfId="0"/>
    <xf numFmtId="168" fontId="11" fillId="0" borderId="0" pivotButton="0" quotePrefix="0" xfId="0"/>
    <xf numFmtId="0" fontId="10" fillId="2" borderId="0" applyAlignment="1" pivotButton="0" quotePrefix="0" xfId="0">
      <alignment horizontal="center"/>
    </xf>
    <xf numFmtId="165" fontId="11" fillId="0" borderId="0" pivotButton="0" quotePrefix="0" xfId="0"/>
    <xf numFmtId="165" fontId="11" fillId="4" borderId="0" pivotButton="0" quotePrefix="0" xfId="0"/>
    <xf numFmtId="0" fontId="10" fillId="2" borderId="0" pivotButton="0" quotePrefix="0" xfId="0"/>
    <xf numFmtId="164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66092"/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NOESIS.IO HEALTH - EXECUTIVE SUMMARY</t>
        </is>
      </c>
    </row>
    <row r="2">
      <c r="A2" s="2" t="inlineStr">
        <is>
          <t>Powered by Athena Core Technologies</t>
        </is>
      </c>
    </row>
    <row r="3"/>
    <row r="4">
      <c r="A4" s="3" t="inlineStr">
        <is>
          <t>Metric</t>
        </is>
      </c>
      <c r="B4" s="3" t="inlineStr">
        <is>
          <t>Year 1</t>
        </is>
      </c>
      <c r="C4" s="3" t="inlineStr">
        <is>
          <t>Year 2</t>
        </is>
      </c>
      <c r="D4" s="3" t="inlineStr">
        <is>
          <t>Year 3</t>
        </is>
      </c>
      <c r="E4" s="3" t="inlineStr">
        <is>
          <t>Year 4</t>
        </is>
      </c>
      <c r="F4" s="3" t="inlineStr">
        <is>
          <t>Year 5</t>
        </is>
      </c>
    </row>
    <row r="5">
      <c r="A5" s="4" t="inlineStr">
        <is>
          <t>Annual Recurring Revenue (ARR)</t>
        </is>
      </c>
      <c r="B5" s="5">
        <f>'Revenue Model'!B20</f>
        <v/>
      </c>
      <c r="C5" s="5">
        <f>'Revenue Model'!C20</f>
        <v/>
      </c>
      <c r="D5" s="5">
        <f>'Revenue Model'!D20</f>
        <v/>
      </c>
      <c r="E5" s="5">
        <f>'Revenue Model'!E20</f>
        <v/>
      </c>
      <c r="F5" s="5">
        <f>'Revenue Model'!F20</f>
        <v/>
      </c>
    </row>
    <row r="6">
      <c r="A6" s="4" t="inlineStr">
        <is>
          <t>Total Customers</t>
        </is>
      </c>
      <c r="B6" s="6">
        <f>'Revenue Model'!B19</f>
        <v/>
      </c>
      <c r="C6" s="6">
        <f>'Revenue Model'!C19</f>
        <v/>
      </c>
      <c r="D6" s="6">
        <f>'Revenue Model'!D19</f>
        <v/>
      </c>
      <c r="E6" s="6">
        <f>'Revenue Model'!E19</f>
        <v/>
      </c>
      <c r="F6" s="6">
        <f>'Revenue Model'!F19</f>
        <v/>
      </c>
    </row>
    <row r="7">
      <c r="A7" s="4" t="inlineStr">
        <is>
          <t>Net Revenue Retention (%)</t>
        </is>
      </c>
      <c r="B7" s="7">
        <f>'Unit Economics'!B18</f>
        <v/>
      </c>
      <c r="C7" s="7">
        <f>'Unit Economics'!C18</f>
        <v/>
      </c>
      <c r="D7" s="7">
        <f>'Unit Economics'!D18</f>
        <v/>
      </c>
      <c r="E7" s="7">
        <f>'Unit Economics'!E18</f>
        <v/>
      </c>
      <c r="F7" s="7">
        <f>'Unit Economics'!F18</f>
        <v/>
      </c>
    </row>
    <row r="8">
      <c r="A8" s="4" t="inlineStr">
        <is>
          <t>Gross Margin (%)</t>
        </is>
      </c>
      <c r="B8" s="7">
        <f>'P&amp;L'!B27</f>
        <v/>
      </c>
      <c r="C8" s="7">
        <f>'P&amp;L'!C27</f>
        <v/>
      </c>
      <c r="D8" s="7">
        <f>'P&amp;L'!D27</f>
        <v/>
      </c>
      <c r="E8" s="7">
        <f>'P&amp;L'!E27</f>
        <v/>
      </c>
      <c r="F8" s="7">
        <f>'P&amp;L'!F27</f>
        <v/>
      </c>
    </row>
    <row r="9">
      <c r="A9" s="4" t="inlineStr">
        <is>
          <t>EBITDA Margin (%)</t>
        </is>
      </c>
      <c r="B9" s="7">
        <f>'P&amp;L'!B37</f>
        <v/>
      </c>
      <c r="C9" s="7">
        <f>'P&amp;L'!C37</f>
        <v/>
      </c>
      <c r="D9" s="7">
        <f>'P&amp;L'!D37</f>
        <v/>
      </c>
      <c r="E9" s="7">
        <f>'P&amp;L'!E37</f>
        <v/>
      </c>
      <c r="F9" s="7">
        <f>'P&amp;L'!F37</f>
        <v/>
      </c>
    </row>
    <row r="10">
      <c r="A10" s="4" t="inlineStr">
        <is>
          <t>Cash Position</t>
        </is>
      </c>
      <c r="B10" s="5">
        <f>'Cash Flow'!B18</f>
        <v/>
      </c>
      <c r="C10" s="5">
        <f>'Cash Flow'!C18</f>
        <v/>
      </c>
      <c r="D10" s="5">
        <f>'Cash Flow'!D18</f>
        <v/>
      </c>
      <c r="E10" s="5">
        <f>'Cash Flow'!E18</f>
        <v/>
      </c>
      <c r="F10" s="5">
        <f>'Cash Flow'!F18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8" t="inlineStr">
        <is>
          <t>REVENUE MODEL</t>
        </is>
      </c>
    </row>
    <row r="2"/>
    <row r="3">
      <c r="A3" s="9" t="inlineStr">
        <is>
          <t>KEY ASSUMPTIONS</t>
        </is>
      </c>
    </row>
    <row r="4">
      <c r="A4" s="10" t="inlineStr">
        <is>
          <t>Essentials Pricing (monthly)</t>
        </is>
      </c>
      <c r="B4" s="11" t="n">
        <v>499</v>
      </c>
    </row>
    <row r="5">
      <c r="A5" s="10" t="inlineStr">
        <is>
          <t>Professional Pricing (monthly)</t>
        </is>
      </c>
      <c r="B5" s="11" t="n">
        <v>999</v>
      </c>
    </row>
    <row r="6">
      <c r="A6" s="10" t="inlineStr">
        <is>
          <t>Enterprise Pricing (monthly)</t>
        </is>
      </c>
      <c r="B6" s="11" t="n">
        <v>2499</v>
      </c>
    </row>
    <row r="7">
      <c r="A7" s="10" t="inlineStr">
        <is>
          <t>Transaction Fee per Claim</t>
        </is>
      </c>
      <c r="B7" s="12" t="n">
        <v>0.5</v>
      </c>
    </row>
    <row r="8">
      <c r="A8" s="10" t="inlineStr">
        <is>
          <t>Professional Services per New Customer</t>
        </is>
      </c>
      <c r="B8" s="11" t="n">
        <v>5000</v>
      </c>
    </row>
    <row r="9">
      <c r="A9" s="10" t="inlineStr">
        <is>
          <t>Transaction Volume per Practice (monthly claims)</t>
        </is>
      </c>
      <c r="B9" s="11" t="n">
        <v>500</v>
      </c>
    </row>
    <row r="10">
      <c r="A10" s="10" t="inlineStr">
        <is>
          <t>Monthly Churn Rate Y1</t>
        </is>
      </c>
      <c r="B10" s="12" t="n">
        <v>0.02</v>
      </c>
    </row>
    <row r="11">
      <c r="A11" s="10" t="inlineStr">
        <is>
          <t>Monthly Churn Rate Y2</t>
        </is>
      </c>
      <c r="B11" s="12" t="n">
        <v>0.015</v>
      </c>
    </row>
    <row r="12">
      <c r="A12" s="10" t="inlineStr">
        <is>
          <t>Monthly Churn Rate Y3-5</t>
        </is>
      </c>
      <c r="B12" s="12" t="n">
        <v>0.012</v>
      </c>
    </row>
    <row r="13"/>
    <row r="14">
      <c r="A14" s="9" t="inlineStr">
        <is>
          <t>PRICING TIER ANALYSIS</t>
        </is>
      </c>
    </row>
    <row r="15">
      <c r="A15" s="13" t="inlineStr"/>
      <c r="B15" s="13" t="inlineStr">
        <is>
          <t>Year 1</t>
        </is>
      </c>
      <c r="C15" s="13" t="inlineStr">
        <is>
          <t>Year 2</t>
        </is>
      </c>
      <c r="D15" s="13" t="inlineStr">
        <is>
          <t>Year 3</t>
        </is>
      </c>
      <c r="E15" s="13" t="inlineStr">
        <is>
          <t>Year 4</t>
        </is>
      </c>
      <c r="F15" s="13" t="inlineStr">
        <is>
          <t>Year 5</t>
        </is>
      </c>
    </row>
    <row r="16">
      <c r="A16" s="4" t="inlineStr">
        <is>
          <t>ESSENTIALS TIER ($499/mo)</t>
        </is>
      </c>
      <c r="B16" s="14" t="n">
        <v>10</v>
      </c>
      <c r="C16" s="14" t="n">
        <v>35</v>
      </c>
      <c r="D16" s="14" t="n">
        <v>90</v>
      </c>
      <c r="E16" s="14" t="n">
        <v>180</v>
      </c>
      <c r="F16" s="14" t="n">
        <v>300</v>
      </c>
    </row>
    <row r="17">
      <c r="A17" s="4" t="inlineStr">
        <is>
          <t>PROFESSIONAL TIER ($999/mo)</t>
        </is>
      </c>
      <c r="B17" s="14" t="n">
        <v>20</v>
      </c>
      <c r="C17" s="14" t="n">
        <v>55</v>
      </c>
      <c r="D17" s="14" t="n">
        <v>140</v>
      </c>
      <c r="E17" s="14" t="n">
        <v>280</v>
      </c>
      <c r="F17" s="14" t="n">
        <v>450</v>
      </c>
    </row>
    <row r="18">
      <c r="A18" s="4" t="inlineStr">
        <is>
          <t>ENTERPRISE TIER ($2,499/mo)</t>
        </is>
      </c>
      <c r="B18" s="14" t="n">
        <v>10</v>
      </c>
      <c r="C18" s="14" t="n">
        <v>30</v>
      </c>
      <c r="D18" s="14" t="n">
        <v>70</v>
      </c>
      <c r="E18" s="14" t="n">
        <v>140</v>
      </c>
      <c r="F18" s="14" t="n">
        <v>250</v>
      </c>
    </row>
    <row r="19">
      <c r="A19" s="4" t="inlineStr">
        <is>
          <t>TOTAL CUSTOMERS</t>
        </is>
      </c>
      <c r="B19" s="15">
        <f>SUM(B16:B18)</f>
        <v/>
      </c>
      <c r="C19" s="15">
        <f>SUM(C16:C18)</f>
        <v/>
      </c>
      <c r="D19" s="15">
        <f>SUM(D16:D18)</f>
        <v/>
      </c>
      <c r="E19" s="15">
        <f>SUM(E16:E18)</f>
        <v/>
      </c>
      <c r="F19" s="15">
        <f>SUM(F16:F18)</f>
        <v/>
      </c>
    </row>
    <row r="20">
      <c r="A20" s="4" t="inlineStr">
        <is>
          <t>TOTAL ARR</t>
        </is>
      </c>
      <c r="B20" s="16">
        <f>(B16*$B$4*12)+(B17*$B$5*12)+(B18*$B$6*12)</f>
        <v/>
      </c>
      <c r="C20" s="16">
        <f>(C16*$B$4*12)+(C17*$B$5*12)+(C18*$B$6*12)</f>
        <v/>
      </c>
      <c r="D20" s="16">
        <f>(D16*$B$4*12)+(D17*$B$5*12)+(D18*$B$6*12)</f>
        <v/>
      </c>
      <c r="E20" s="16">
        <f>(E16*$B$4*12)+(E17*$B$5*12)+(E18*$B$6*12)</f>
        <v/>
      </c>
      <c r="F20" s="16">
        <f>(F16*$B$4*12)+(F17*$B$5*12)+(F18*$B$6*12)</f>
        <v/>
      </c>
    </row>
    <row r="21">
      <c r="A21" s="4" t="inlineStr">
        <is>
          <t>TRANSACTION REVENUE (claims)</t>
        </is>
      </c>
      <c r="B21" s="16">
        <f>B19*$B$10*12*$B$4</f>
        <v/>
      </c>
      <c r="C21" s="16">
        <f>C19*$B$10*12*$B$4</f>
        <v/>
      </c>
      <c r="D21" s="16">
        <f>D19*$B$10*12*$B$4</f>
        <v/>
      </c>
      <c r="E21" s="16">
        <f>E19*$B$10*12*$B$4</f>
        <v/>
      </c>
      <c r="F21" s="16">
        <f>F19*$B$10*12*$B$4</f>
        <v/>
      </c>
    </row>
    <row r="22">
      <c r="A22" s="4" t="inlineStr">
        <is>
          <t>PROFESSIONAL SERVICES REVENUE</t>
        </is>
      </c>
      <c r="B22" s="16">
        <f>10*$B$5</f>
        <v/>
      </c>
      <c r="C22" s="16">
        <f>25*$B$5</f>
        <v/>
      </c>
      <c r="D22" s="16">
        <f>55*$B$5</f>
        <v/>
      </c>
      <c r="E22" s="16">
        <f>190*$B$5</f>
        <v/>
      </c>
      <c r="F22" s="16">
        <f>120*$B$5</f>
        <v/>
      </c>
    </row>
    <row r="23">
      <c r="A23" s="9" t="inlineStr">
        <is>
          <t>TOTAL REVENUE</t>
        </is>
      </c>
      <c r="B23" s="17">
        <f>B20+B21+B22</f>
        <v/>
      </c>
      <c r="C23" s="17">
        <f>C20+C21+C22</f>
        <v/>
      </c>
      <c r="D23" s="17">
        <f>D20+D21+D22</f>
        <v/>
      </c>
      <c r="E23" s="17">
        <f>E20+E21+E22</f>
        <v/>
      </c>
      <c r="F23" s="17">
        <f>F20+F21+F22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8" t="inlineStr">
        <is>
          <t>UNIT ECONOMICS ANALYSIS</t>
        </is>
      </c>
    </row>
    <row r="2"/>
    <row r="3">
      <c r="A3" s="13" t="inlineStr">
        <is>
          <t>Metric</t>
        </is>
      </c>
      <c r="B3" s="13" t="inlineStr">
        <is>
          <t>Year 1</t>
        </is>
      </c>
      <c r="C3" s="13" t="inlineStr">
        <is>
          <t>Year 2</t>
        </is>
      </c>
      <c r="D3" s="13" t="inlineStr">
        <is>
          <t>Year 3</t>
        </is>
      </c>
      <c r="E3" s="13" t="inlineStr">
        <is>
          <t>Year 4</t>
        </is>
      </c>
      <c r="F3" s="13" t="inlineStr">
        <is>
          <t>Year 5</t>
        </is>
      </c>
    </row>
    <row r="4">
      <c r="A4" t="inlineStr">
        <is>
          <t>Sales &amp; Marketing Spend</t>
        </is>
      </c>
      <c r="B4" s="18">
        <f>'Headcount Plan'!B11</f>
        <v/>
      </c>
      <c r="C4" s="18">
        <f>'Headcount Plan'!C11</f>
        <v/>
      </c>
      <c r="D4" s="18">
        <f>'Headcount Plan'!D11</f>
        <v/>
      </c>
      <c r="E4" s="18">
        <f>'Headcount Plan'!E11</f>
        <v/>
      </c>
      <c r="F4" s="18">
        <f>'Headcount Plan'!F11</f>
        <v/>
      </c>
    </row>
    <row r="5">
      <c r="A5" t="inlineStr">
        <is>
          <t>New Customers</t>
        </is>
      </c>
      <c r="B5" s="14" t="n">
        <v>40</v>
      </c>
      <c r="C5" s="14" t="n">
        <v>80</v>
      </c>
      <c r="D5" s="14" t="n">
        <v>180</v>
      </c>
      <c r="E5" s="14" t="n">
        <v>300</v>
      </c>
      <c r="F5" s="14" t="n">
        <v>400</v>
      </c>
    </row>
    <row r="6">
      <c r="A6" t="inlineStr">
        <is>
          <t>Customer Acquisition Cost (CAC)</t>
        </is>
      </c>
      <c r="B6" s="16">
        <f>B4/B5</f>
        <v/>
      </c>
      <c r="C6" s="16">
        <f>C4/C5</f>
        <v/>
      </c>
      <c r="D6" s="16">
        <f>D4/D5</f>
        <v/>
      </c>
      <c r="E6" s="16">
        <f>E4/E5</f>
        <v/>
      </c>
      <c r="F6" s="16">
        <f>F4/F5</f>
        <v/>
      </c>
    </row>
    <row r="7"/>
    <row r="8">
      <c r="A8" t="inlineStr">
        <is>
          <t>Average Revenue per Customer (ARPC)</t>
        </is>
      </c>
      <c r="B8" s="18">
        <f>'Revenue Model'!B23/'Revenue Model'!B19</f>
        <v/>
      </c>
      <c r="C8" s="18">
        <f>'Revenue Model'!C23/'Revenue Model'!C19</f>
        <v/>
      </c>
      <c r="D8" s="18">
        <f>'Revenue Model'!D23/'Revenue Model'!D19</f>
        <v/>
      </c>
      <c r="E8" s="18">
        <f>'Revenue Model'!E23/'Revenue Model'!E19</f>
        <v/>
      </c>
      <c r="F8" s="18">
        <f>'Revenue Model'!F23/'Revenue Model'!F19</f>
        <v/>
      </c>
    </row>
    <row r="9">
      <c r="A9" t="inlineStr">
        <is>
          <t>Gross Margin %</t>
        </is>
      </c>
      <c r="B9" s="19">
        <f>'P&amp;L'!B27</f>
        <v/>
      </c>
      <c r="C9" s="19">
        <f>'P&amp;L'!C27</f>
        <v/>
      </c>
      <c r="D9" s="19">
        <f>'P&amp;L'!D27</f>
        <v/>
      </c>
      <c r="E9" s="19">
        <f>'P&amp;L'!E27</f>
        <v/>
      </c>
      <c r="F9" s="19">
        <f>'P&amp;L'!F27</f>
        <v/>
      </c>
    </row>
    <row r="10">
      <c r="A10" t="inlineStr">
        <is>
          <t>Monthly Churn Rate</t>
        </is>
      </c>
      <c r="B10" s="20" t="n">
        <v>0.02</v>
      </c>
      <c r="C10" s="20" t="n">
        <v>0.015</v>
      </c>
      <c r="D10" s="20" t="n">
        <v>0.012</v>
      </c>
      <c r="E10" s="20" t="n">
        <v>0.012</v>
      </c>
      <c r="F10" s="20" t="n">
        <v>0.012</v>
      </c>
    </row>
    <row r="11">
      <c r="A11" t="inlineStr">
        <is>
          <t>Lifetime Value (LTV)</t>
        </is>
      </c>
      <c r="B11" s="16">
        <f>(B8*B9)/B10</f>
        <v/>
      </c>
      <c r="C11" s="16">
        <f>(C8*C9)/C10</f>
        <v/>
      </c>
      <c r="D11" s="16">
        <f>(D8*D9)/D10</f>
        <v/>
      </c>
      <c r="E11" s="16">
        <f>(E8*E9)/E10</f>
        <v/>
      </c>
      <c r="F11" s="16">
        <f>(F8*F9)/F10</f>
        <v/>
      </c>
    </row>
    <row r="12">
      <c r="A12" t="inlineStr">
        <is>
          <t>LTV:CAC Ratio</t>
        </is>
      </c>
      <c r="B12" s="21">
        <f>B11/B6</f>
        <v/>
      </c>
      <c r="C12" s="21">
        <f>C11/C6</f>
        <v/>
      </c>
      <c r="D12" s="21">
        <f>D11/D6</f>
        <v/>
      </c>
      <c r="E12" s="21">
        <f>E11/E6</f>
        <v/>
      </c>
      <c r="F12" s="21">
        <f>F11/F6</f>
        <v/>
      </c>
    </row>
    <row r="13">
      <c r="A13" t="inlineStr">
        <is>
          <t>Payback Period (months)</t>
        </is>
      </c>
      <c r="B13" s="22">
        <f>B6/(B8*B9)</f>
        <v/>
      </c>
      <c r="C13" s="22">
        <f>C6/(C8*C9)</f>
        <v/>
      </c>
      <c r="D13" s="22">
        <f>D6/(D8*D9)</f>
        <v/>
      </c>
      <c r="E13" s="22">
        <f>E6/(E8*E9)</f>
        <v/>
      </c>
      <c r="F13" s="22">
        <f>F6/(F8*F9)</f>
        <v/>
      </c>
    </row>
    <row r="14"/>
    <row r="15">
      <c r="A15" t="inlineStr">
        <is>
          <t>Net Revenue Retention (NRR)</t>
        </is>
      </c>
      <c r="B15" s="20" t="n">
        <v>0.95</v>
      </c>
      <c r="C15" s="20" t="n">
        <v>0.97</v>
      </c>
      <c r="D15" s="20" t="n">
        <v>0.98</v>
      </c>
      <c r="E15" s="20" t="n">
        <v>0.99</v>
      </c>
      <c r="F15" s="20" t="n">
        <v>0.99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8" t="inlineStr">
        <is>
          <t>PROFIT &amp; LOSS STATEMENT</t>
        </is>
      </c>
    </row>
    <row r="2"/>
    <row r="3">
      <c r="A3" s="23" t="inlineStr"/>
      <c r="B3" s="23" t="inlineStr">
        <is>
          <t>Year 1</t>
        </is>
      </c>
      <c r="C3" s="23" t="inlineStr">
        <is>
          <t>Year 2</t>
        </is>
      </c>
      <c r="D3" s="23" t="inlineStr">
        <is>
          <t>Year 3</t>
        </is>
      </c>
      <c r="E3" s="23" t="inlineStr">
        <is>
          <t>Year 4</t>
        </is>
      </c>
      <c r="F3" s="23" t="inlineStr">
        <is>
          <t>Year 5</t>
        </is>
      </c>
    </row>
    <row r="4">
      <c r="A4" t="inlineStr">
        <is>
          <t>Revenue</t>
        </is>
      </c>
      <c r="B4" s="18">
        <f>'Revenue Model'!B23</f>
        <v/>
      </c>
      <c r="C4" s="18">
        <f>'Revenue Model'!C23</f>
        <v/>
      </c>
      <c r="D4" s="18">
        <f>'Revenue Model'!D23</f>
        <v/>
      </c>
      <c r="E4" s="18">
        <f>'Revenue Model'!E23</f>
        <v/>
      </c>
      <c r="F4" s="18">
        <f>'Revenue Model'!F23</f>
        <v/>
      </c>
    </row>
    <row r="5"/>
    <row r="6">
      <c r="A6" s="4" t="inlineStr">
        <is>
          <t>Cost of Revenue</t>
        </is>
      </c>
    </row>
    <row r="7">
      <c r="A7" t="inlineStr">
        <is>
          <t xml:space="preserve">  Cloud Infrastructure</t>
        </is>
      </c>
      <c r="B7" s="16">
        <f>B4*0.15</f>
        <v/>
      </c>
      <c r="C7" s="16">
        <f>C4*0.13</f>
        <v/>
      </c>
      <c r="D7" s="16">
        <f>D4*0.12</f>
        <v/>
      </c>
      <c r="E7" s="16">
        <f>E4*0.11</f>
        <v/>
      </c>
      <c r="F7" s="16">
        <f>F4*0.1</f>
        <v/>
      </c>
    </row>
    <row r="8">
      <c r="A8" t="inlineStr">
        <is>
          <t xml:space="preserve">  Customer Support</t>
        </is>
      </c>
      <c r="B8" s="18">
        <f>'Headcount Plan'!B8</f>
        <v/>
      </c>
      <c r="C8" s="18">
        <f>'Headcount Plan'!C8</f>
        <v/>
      </c>
      <c r="D8" s="18">
        <f>'Headcount Plan'!D8</f>
        <v/>
      </c>
      <c r="E8" s="18">
        <f>'Headcount Plan'!E8</f>
        <v/>
      </c>
      <c r="F8" s="18">
        <f>'Headcount Plan'!F8</f>
        <v/>
      </c>
    </row>
    <row r="9">
      <c r="A9" t="inlineStr">
        <is>
          <t xml:space="preserve">  Payment Processing (2.9%)</t>
        </is>
      </c>
      <c r="B9" s="16">
        <f>'Revenue Model'!B21*0.029</f>
        <v/>
      </c>
      <c r="C9" s="16">
        <f>'Revenue Model'!C21*0.029</f>
        <v/>
      </c>
      <c r="D9" s="16">
        <f>'Revenue Model'!D21*0.029</f>
        <v/>
      </c>
      <c r="E9" s="16">
        <f>'Revenue Model'!E21*0.029</f>
        <v/>
      </c>
      <c r="F9" s="16">
        <f>'Revenue Model'!F21*0.029</f>
        <v/>
      </c>
    </row>
    <row r="10">
      <c r="A10" t="inlineStr">
        <is>
          <t>Total Cost of Revenue</t>
        </is>
      </c>
      <c r="B10" s="16">
        <f>B7+B8+B9</f>
        <v/>
      </c>
      <c r="C10" s="16">
        <f>C7+C8+C9</f>
        <v/>
      </c>
      <c r="D10" s="16">
        <f>D7+D8+D9</f>
        <v/>
      </c>
      <c r="E10" s="16">
        <f>E7+E8+E9</f>
        <v/>
      </c>
      <c r="F10" s="16">
        <f>F7+F8+F9</f>
        <v/>
      </c>
    </row>
    <row r="11">
      <c r="A11" t="inlineStr">
        <is>
          <t>Gross Profit</t>
        </is>
      </c>
      <c r="B11" s="16">
        <f>B4-B10</f>
        <v/>
      </c>
      <c r="C11" s="16">
        <f>C4-C10</f>
        <v/>
      </c>
      <c r="D11" s="16">
        <f>D4-D10</f>
        <v/>
      </c>
      <c r="E11" s="16">
        <f>E4-E10</f>
        <v/>
      </c>
      <c r="F11" s="16">
        <f>F4-F10</f>
        <v/>
      </c>
    </row>
    <row r="12">
      <c r="A12" t="inlineStr">
        <is>
          <t>Gross Margin %</t>
        </is>
      </c>
      <c r="B12" s="24">
        <f>B11/B4</f>
        <v/>
      </c>
      <c r="C12" s="24">
        <f>C11/C4</f>
        <v/>
      </c>
      <c r="D12" s="24">
        <f>D11/D4</f>
        <v/>
      </c>
      <c r="E12" s="24">
        <f>E11/E4</f>
        <v/>
      </c>
      <c r="F12" s="24">
        <f>F11/F4</f>
        <v/>
      </c>
    </row>
    <row r="13"/>
    <row r="14">
      <c r="A14" s="4" t="inlineStr">
        <is>
          <t>Operating Expenses</t>
        </is>
      </c>
    </row>
    <row r="15">
      <c r="A15" t="inlineStr">
        <is>
          <t xml:space="preserve">  Research &amp; Development</t>
        </is>
      </c>
      <c r="B15" s="18">
        <f>'Headcount Plan'!B5</f>
        <v/>
      </c>
      <c r="C15" s="18">
        <f>'Headcount Plan'!C5</f>
        <v/>
      </c>
      <c r="D15" s="18">
        <f>'Headcount Plan'!D5</f>
        <v/>
      </c>
      <c r="E15" s="18">
        <f>'Headcount Plan'!E5</f>
        <v/>
      </c>
      <c r="F15" s="18">
        <f>'Headcount Plan'!F5</f>
        <v/>
      </c>
    </row>
    <row r="16">
      <c r="A16" t="inlineStr">
        <is>
          <t xml:space="preserve">  Sales &amp; Marketing</t>
        </is>
      </c>
      <c r="B16" s="18">
        <f>'Headcount Plan'!B11</f>
        <v/>
      </c>
      <c r="C16" s="18">
        <f>'Headcount Plan'!C11</f>
        <v/>
      </c>
      <c r="D16" s="18">
        <f>'Headcount Plan'!D11</f>
        <v/>
      </c>
      <c r="E16" s="18">
        <f>'Headcount Plan'!E11</f>
        <v/>
      </c>
      <c r="F16" s="18">
        <f>'Headcount Plan'!F11</f>
        <v/>
      </c>
    </row>
    <row r="17">
      <c r="A17" t="inlineStr">
        <is>
          <t xml:space="preserve">  General &amp; Administrative</t>
        </is>
      </c>
      <c r="B17" s="18">
        <f>'Headcount Plan'!B14</f>
        <v/>
      </c>
      <c r="C17" s="18">
        <f>'Headcount Plan'!C14</f>
        <v/>
      </c>
      <c r="D17" s="18">
        <f>'Headcount Plan'!D14</f>
        <v/>
      </c>
      <c r="E17" s="18">
        <f>'Headcount Plan'!E14</f>
        <v/>
      </c>
      <c r="F17" s="18">
        <f>'Headcount Plan'!F14</f>
        <v/>
      </c>
    </row>
    <row r="18">
      <c r="A18" t="inlineStr">
        <is>
          <t>Total Operating Expenses</t>
        </is>
      </c>
      <c r="B18" s="16">
        <f>B15+B16+B17</f>
        <v/>
      </c>
      <c r="C18" s="16">
        <f>C15+C16+C17</f>
        <v/>
      </c>
      <c r="D18" s="16">
        <f>D15+D16+D17</f>
        <v/>
      </c>
      <c r="E18" s="16">
        <f>E15+E16+E17</f>
        <v/>
      </c>
      <c r="F18" s="16">
        <f>F15+F16+F17</f>
        <v/>
      </c>
    </row>
    <row r="19"/>
    <row r="20">
      <c r="A20" t="inlineStr">
        <is>
          <t>EBITDA</t>
        </is>
      </c>
      <c r="B20" s="17">
        <f>B11-B18</f>
        <v/>
      </c>
      <c r="C20" s="17">
        <f>C11-C18</f>
        <v/>
      </c>
      <c r="D20" s="17">
        <f>D11-D18</f>
        <v/>
      </c>
      <c r="E20" s="17">
        <f>E11-E18</f>
        <v/>
      </c>
      <c r="F20" s="17">
        <f>F11-F18</f>
        <v/>
      </c>
    </row>
    <row r="21">
      <c r="A21" t="inlineStr">
        <is>
          <t>EBITDA Margin %</t>
        </is>
      </c>
      <c r="B21" s="25">
        <f>B20/B4</f>
        <v/>
      </c>
      <c r="C21" s="25">
        <f>C20/C4</f>
        <v/>
      </c>
      <c r="D21" s="25">
        <f>D20/D4</f>
        <v/>
      </c>
      <c r="E21" s="25">
        <f>E20/E4</f>
        <v/>
      </c>
      <c r="F21" s="25">
        <f>F20/F4</f>
        <v/>
      </c>
    </row>
    <row r="22"/>
    <row r="23">
      <c r="A23" t="inlineStr">
        <is>
          <t>Depreciation &amp; Amortization</t>
        </is>
      </c>
      <c r="B23" s="11" t="n">
        <v>200000</v>
      </c>
      <c r="C23" s="11" t="n">
        <v>250000</v>
      </c>
      <c r="D23" s="11" t="n">
        <v>300000</v>
      </c>
      <c r="E23" s="11" t="n">
        <v>350000</v>
      </c>
      <c r="F23" s="11" t="n">
        <v>400000</v>
      </c>
    </row>
    <row r="24">
      <c r="A24" t="inlineStr">
        <is>
          <t>Interest Expense</t>
        </is>
      </c>
      <c r="B24" s="11" t="n">
        <v>500000</v>
      </c>
      <c r="C24" s="11" t="n">
        <v>400000</v>
      </c>
      <c r="D24" s="11" t="n">
        <v>300000</v>
      </c>
      <c r="E24" s="11" t="n">
        <v>200000</v>
      </c>
      <c r="F24" s="11" t="n">
        <v>100000</v>
      </c>
    </row>
    <row r="25">
      <c r="A25" t="inlineStr">
        <is>
          <t>Operating Income (before tax)</t>
        </is>
      </c>
      <c r="B25" s="16">
        <f>B20-B23-B24</f>
        <v/>
      </c>
      <c r="C25" s="16">
        <f>C20-C23-C24</f>
        <v/>
      </c>
      <c r="D25" s="16">
        <f>D20-D23-D24</f>
        <v/>
      </c>
      <c r="E25" s="16">
        <f>E20-E23-E24</f>
        <v/>
      </c>
      <c r="F25" s="16">
        <f>F20-F23-F24</f>
        <v/>
      </c>
    </row>
    <row r="26">
      <c r="A26" t="inlineStr">
        <is>
          <t>Taxes (21%)</t>
        </is>
      </c>
      <c r="B26" s="16">
        <f>MAX(B25*0.21,0)</f>
        <v/>
      </c>
      <c r="C26" s="16">
        <f>MAX(C25*0.21,0)</f>
        <v/>
      </c>
      <c r="D26" s="16">
        <f>MAX(D25*0.21,0)</f>
        <v/>
      </c>
      <c r="E26" s="16">
        <f>MAX(E25*0.21,0)</f>
        <v/>
      </c>
      <c r="F26" s="16">
        <f>MAX(F25*0.21,0)</f>
        <v/>
      </c>
    </row>
    <row r="27">
      <c r="A27" t="inlineStr">
        <is>
          <t>Net Income</t>
        </is>
      </c>
      <c r="B27" s="17">
        <f>B25-B26</f>
        <v/>
      </c>
      <c r="C27" s="17">
        <f>C25-C26</f>
        <v/>
      </c>
      <c r="D27" s="17">
        <f>D25-D26</f>
        <v/>
      </c>
      <c r="E27" s="17">
        <f>E25-E26</f>
        <v/>
      </c>
      <c r="F27" s="17">
        <f>F25-F26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2D050"/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8" t="inlineStr">
        <is>
          <t>HEADCOUNT PLAN &amp; PEOPLE COSTS</t>
        </is>
      </c>
    </row>
    <row r="2"/>
    <row r="3">
      <c r="A3" s="23" t="inlineStr">
        <is>
          <t>Department</t>
        </is>
      </c>
      <c r="B3" s="23" t="inlineStr">
        <is>
          <t>Year 1</t>
        </is>
      </c>
      <c r="C3" s="23" t="inlineStr">
        <is>
          <t>Year 2</t>
        </is>
      </c>
      <c r="D3" s="23" t="inlineStr">
        <is>
          <t>Year 3</t>
        </is>
      </c>
      <c r="E3" s="23" t="inlineStr">
        <is>
          <t>Year 4</t>
        </is>
      </c>
      <c r="F3" s="23" t="inlineStr">
        <is>
          <t>Year 5</t>
        </is>
      </c>
    </row>
    <row r="4">
      <c r="A4" s="4" t="inlineStr">
        <is>
          <t>Engineering</t>
        </is>
      </c>
      <c r="B4" s="14" t="n">
        <v>4</v>
      </c>
      <c r="C4" s="14" t="n">
        <v>7</v>
      </c>
      <c r="D4" s="14" t="n">
        <v>12</v>
      </c>
      <c r="E4" s="14" t="n">
        <v>18</v>
      </c>
      <c r="F4" s="14" t="n">
        <v>25</v>
      </c>
    </row>
    <row r="5">
      <c r="A5" s="4" t="inlineStr">
        <is>
          <t>Product</t>
        </is>
      </c>
      <c r="B5" s="14" t="n">
        <v>1</v>
      </c>
      <c r="C5" s="14" t="n">
        <v>2</v>
      </c>
      <c r="D5" s="14" t="n">
        <v>3</v>
      </c>
      <c r="E5" s="14" t="n">
        <v>4</v>
      </c>
      <c r="F5" s="14" t="n">
        <v>5</v>
      </c>
    </row>
    <row r="6">
      <c r="A6" s="4" t="inlineStr">
        <is>
          <t>Sales</t>
        </is>
      </c>
      <c r="B6" s="14" t="n">
        <v>2</v>
      </c>
      <c r="C6" s="14" t="n">
        <v>5</v>
      </c>
      <c r="D6" s="14" t="n">
        <v>10</v>
      </c>
      <c r="E6" s="14" t="n">
        <v>15</v>
      </c>
      <c r="F6" s="14" t="n">
        <v>20</v>
      </c>
    </row>
    <row r="7">
      <c r="A7" s="4" t="inlineStr">
        <is>
          <t>Marketing</t>
        </is>
      </c>
      <c r="B7" s="14" t="n">
        <v>1</v>
      </c>
      <c r="C7" s="14" t="n">
        <v>2</v>
      </c>
      <c r="D7" s="14" t="n">
        <v>4</v>
      </c>
      <c r="E7" s="14" t="n">
        <v>6</v>
      </c>
      <c r="F7" s="14" t="n">
        <v>8</v>
      </c>
    </row>
    <row r="8">
      <c r="A8" s="4" t="inlineStr">
        <is>
          <t>Customer Success</t>
        </is>
      </c>
      <c r="B8" s="14" t="n">
        <v>2</v>
      </c>
      <c r="C8" s="14" t="n">
        <v>5</v>
      </c>
      <c r="D8" s="14" t="n">
        <v>10</v>
      </c>
      <c r="E8" s="14" t="n">
        <v>15</v>
      </c>
      <c r="F8" s="14" t="n">
        <v>20</v>
      </c>
    </row>
    <row r="9">
      <c r="A9" s="4" t="inlineStr">
        <is>
          <t>G&amp;A</t>
        </is>
      </c>
      <c r="B9" s="14" t="n">
        <v>2</v>
      </c>
      <c r="C9" s="14" t="n">
        <v>3</v>
      </c>
      <c r="D9" s="14" t="n">
        <v>4</v>
      </c>
      <c r="E9" s="14" t="n">
        <v>5</v>
      </c>
      <c r="F9" s="14" t="n">
        <v>6</v>
      </c>
    </row>
    <row r="10">
      <c r="A10" s="4" t="inlineStr">
        <is>
          <t>TOTAL HEADCOUNT</t>
        </is>
      </c>
      <c r="B10" s="15">
        <f>SUM(B4:B9)</f>
        <v/>
      </c>
      <c r="C10" s="15">
        <f>SUM(C4:C9)</f>
        <v/>
      </c>
      <c r="D10" s="15">
        <f>SUM(D4:D9)</f>
        <v/>
      </c>
      <c r="E10" s="15">
        <f>SUM(E4:E9)</f>
        <v/>
      </c>
      <c r="F10" s="15">
        <f>SUM(F4:F9)</f>
        <v/>
      </c>
    </row>
    <row r="11"/>
    <row r="12">
      <c r="A12" s="9" t="inlineStr">
        <is>
          <t>AVERAGE SALARY BY DEPARTMENT</t>
        </is>
      </c>
    </row>
    <row r="13">
      <c r="A13" s="26" t="inlineStr">
        <is>
          <t>Department</t>
        </is>
      </c>
      <c r="B13" s="26" t="inlineStr">
        <is>
          <t>Year 1</t>
        </is>
      </c>
      <c r="C13" s="26" t="inlineStr">
        <is>
          <t>Year 2</t>
        </is>
      </c>
      <c r="D13" s="26" t="inlineStr">
        <is>
          <t>Year 3</t>
        </is>
      </c>
      <c r="E13" s="26" t="inlineStr">
        <is>
          <t>Year 4</t>
        </is>
      </c>
      <c r="F13" s="26" t="inlineStr">
        <is>
          <t>Year 5</t>
        </is>
      </c>
    </row>
    <row r="14">
      <c r="A14" t="inlineStr">
        <is>
          <t>Engineering</t>
        </is>
      </c>
      <c r="B14" s="11" t="n">
        <v>120000</v>
      </c>
      <c r="C14" s="11" t="n">
        <v>125000</v>
      </c>
      <c r="D14" s="11" t="n">
        <v>130000</v>
      </c>
      <c r="E14" s="11" t="n">
        <v>135000</v>
      </c>
      <c r="F14" s="11" t="n">
        <v>140000</v>
      </c>
    </row>
    <row r="15">
      <c r="A15" t="inlineStr">
        <is>
          <t>Product</t>
        </is>
      </c>
      <c r="B15" s="11" t="n">
        <v>110000</v>
      </c>
      <c r="C15" s="11" t="n">
        <v>115000</v>
      </c>
      <c r="D15" s="11" t="n">
        <v>120000</v>
      </c>
      <c r="E15" s="11" t="n">
        <v>125000</v>
      </c>
      <c r="F15" s="11" t="n">
        <v>130000</v>
      </c>
    </row>
    <row r="16">
      <c r="A16" t="inlineStr">
        <is>
          <t>Sales</t>
        </is>
      </c>
      <c r="B16" s="11" t="n">
        <v>90000</v>
      </c>
      <c r="C16" s="11" t="n">
        <v>95000</v>
      </c>
      <c r="D16" s="11" t="n">
        <v>100000</v>
      </c>
      <c r="E16" s="11" t="n">
        <v>105000</v>
      </c>
      <c r="F16" s="11" t="n">
        <v>110000</v>
      </c>
    </row>
    <row r="17">
      <c r="A17" t="inlineStr">
        <is>
          <t>Marketing</t>
        </is>
      </c>
      <c r="B17" s="11" t="n">
        <v>85000</v>
      </c>
      <c r="C17" s="11" t="n">
        <v>90000</v>
      </c>
      <c r="D17" s="11" t="n">
        <v>95000</v>
      </c>
      <c r="E17" s="11" t="n">
        <v>100000</v>
      </c>
      <c r="F17" s="11" t="n">
        <v>105000</v>
      </c>
    </row>
    <row r="18">
      <c r="A18" t="inlineStr">
        <is>
          <t>Customer Success</t>
        </is>
      </c>
      <c r="B18" s="11" t="n">
        <v>75000</v>
      </c>
      <c r="C18" s="11" t="n">
        <v>80000</v>
      </c>
      <c r="D18" s="11" t="n">
        <v>85000</v>
      </c>
      <c r="E18" s="11" t="n">
        <v>90000</v>
      </c>
      <c r="F18" s="11" t="n">
        <v>95000</v>
      </c>
    </row>
    <row r="19">
      <c r="A19" t="inlineStr">
        <is>
          <t>G&amp;A</t>
        </is>
      </c>
      <c r="B19" s="11" t="n">
        <v>100000</v>
      </c>
      <c r="C19" s="11" t="n">
        <v>105000</v>
      </c>
      <c r="D19" s="11" t="n">
        <v>110000</v>
      </c>
      <c r="E19" s="11" t="n">
        <v>115000</v>
      </c>
      <c r="F19" s="11" t="n">
        <v>120000</v>
      </c>
    </row>
    <row r="20"/>
    <row r="21">
      <c r="A21" s="4" t="inlineStr">
        <is>
          <t>TOTAL PEOPLE COSTS (incl 1.3x benefits)</t>
        </is>
      </c>
      <c r="B21" s="16">
        <f>((B4*B14)+(B5*B15)+(B6*B16)+(B7*B17)+(B8*B18)+(B9*B19))*1.3</f>
        <v/>
      </c>
      <c r="C21" s="16">
        <f>((C4*C14)+(C5*C15)+(C6*C16)+(C7*C17)+(C8*C18)+(C9*C19))*1.3</f>
        <v/>
      </c>
      <c r="D21" s="16">
        <f>((D4*D14)+(D5*D15)+(D6*D16)+(D7*D17)+(D8*D18)+(D9*D19))*1.3</f>
        <v/>
      </c>
      <c r="E21" s="16">
        <f>((E4*E14)+(E5*E15)+(E6*E16)+(E7*E17)+(E8*E18)+(E9*E19))*1.3</f>
        <v/>
      </c>
      <c r="F21" s="16">
        <f>((F4*F14)+(F5*F15)+(F6*F16)+(F7*F17)+(F8*F18)+(F9*F19))*1.3</f>
        <v/>
      </c>
    </row>
    <row r="22"/>
    <row r="23">
      <c r="A23" s="9" t="inlineStr">
        <is>
          <t>COST BY DEPARTMENT</t>
        </is>
      </c>
    </row>
    <row r="24">
      <c r="A24" s="26" t="inlineStr">
        <is>
          <t>Department</t>
        </is>
      </c>
      <c r="B24" s="26" t="inlineStr">
        <is>
          <t>Year 1</t>
        </is>
      </c>
      <c r="C24" s="26" t="inlineStr">
        <is>
          <t>Year 2</t>
        </is>
      </c>
      <c r="D24" s="26" t="inlineStr">
        <is>
          <t>Year 3</t>
        </is>
      </c>
      <c r="E24" s="26" t="inlineStr">
        <is>
          <t>Year 4</t>
        </is>
      </c>
      <c r="F24" s="26" t="inlineStr">
        <is>
          <t>Year 5</t>
        </is>
      </c>
    </row>
    <row r="25">
      <c r="A25" t="inlineStr">
        <is>
          <t>Engineering</t>
        </is>
      </c>
      <c r="B25" s="16">
        <f>(B4*B14)*1.3</f>
        <v/>
      </c>
      <c r="C25" s="16">
        <f>(C4*C14)*1.3</f>
        <v/>
      </c>
      <c r="D25" s="16">
        <f>(D4*D14)*1.3</f>
        <v/>
      </c>
      <c r="E25" s="16">
        <f>(E4*E14)*1.3</f>
        <v/>
      </c>
      <c r="F25" s="16">
        <f>(F4*F14)*1.3</f>
        <v/>
      </c>
    </row>
    <row r="26">
      <c r="A26" t="inlineStr">
        <is>
          <t>Product</t>
        </is>
      </c>
      <c r="B26" s="16">
        <f>(B5*B15)*1.3</f>
        <v/>
      </c>
      <c r="C26" s="16">
        <f>(C5*C15)*1.3</f>
        <v/>
      </c>
      <c r="D26" s="16">
        <f>(D5*D15)*1.3</f>
        <v/>
      </c>
      <c r="E26" s="16">
        <f>(E5*E15)*1.3</f>
        <v/>
      </c>
      <c r="F26" s="16">
        <f>(F5*F15)*1.3</f>
        <v/>
      </c>
    </row>
    <row r="27">
      <c r="A27" t="inlineStr">
        <is>
          <t>Sales</t>
        </is>
      </c>
      <c r="B27" s="16">
        <f>(B6*B16)*1.3</f>
        <v/>
      </c>
      <c r="C27" s="16">
        <f>(C6*C16)*1.3</f>
        <v/>
      </c>
      <c r="D27" s="16">
        <f>(D6*D16)*1.3</f>
        <v/>
      </c>
      <c r="E27" s="16">
        <f>(E6*E16)*1.3</f>
        <v/>
      </c>
      <c r="F27" s="16">
        <f>(F6*F16)*1.3</f>
        <v/>
      </c>
    </row>
    <row r="28">
      <c r="A28" t="inlineStr">
        <is>
          <t>Marketing</t>
        </is>
      </c>
      <c r="B28" s="16">
        <f>(B7*B17)*1.3</f>
        <v/>
      </c>
      <c r="C28" s="16">
        <f>(C7*C17)*1.3</f>
        <v/>
      </c>
      <c r="D28" s="16">
        <f>(D7*D17)*1.3</f>
        <v/>
      </c>
      <c r="E28" s="16">
        <f>(E7*E17)*1.3</f>
        <v/>
      </c>
      <c r="F28" s="16">
        <f>(F7*F17)*1.3</f>
        <v/>
      </c>
    </row>
    <row r="29">
      <c r="A29" t="inlineStr">
        <is>
          <t>Customer Success</t>
        </is>
      </c>
      <c r="B29" s="16">
        <f>(B8*B18)*1.3</f>
        <v/>
      </c>
      <c r="C29" s="16">
        <f>(C8*C18)*1.3</f>
        <v/>
      </c>
      <c r="D29" s="16">
        <f>(D8*D18)*1.3</f>
        <v/>
      </c>
      <c r="E29" s="16">
        <f>(E8*E18)*1.3</f>
        <v/>
      </c>
      <c r="F29" s="16">
        <f>(F8*F18)*1.3</f>
        <v/>
      </c>
    </row>
    <row r="30">
      <c r="A30" t="inlineStr">
        <is>
          <t>G&amp;A</t>
        </is>
      </c>
      <c r="B30" s="16">
        <f>(B9*B19)*1.3</f>
        <v/>
      </c>
      <c r="C30" s="16">
        <f>(C9*C19)*1.3</f>
        <v/>
      </c>
      <c r="D30" s="16">
        <f>(D9*D19)*1.3</f>
        <v/>
      </c>
      <c r="E30" s="16">
        <f>(E9*E19)*1.3</f>
        <v/>
      </c>
      <c r="F30" s="16">
        <f>(F9*F19)*1.3</f>
        <v/>
      </c>
    </row>
    <row r="31"/>
    <row r="32">
      <c r="A32" t="inlineStr">
        <is>
          <t>R&amp;D COST (for P&amp;L)</t>
        </is>
      </c>
      <c r="B32" s="16">
        <f>B25</f>
        <v/>
      </c>
      <c r="C32" s="16">
        <f>C25</f>
        <v/>
      </c>
      <c r="D32" s="16">
        <f>D25</f>
        <v/>
      </c>
      <c r="E32" s="16">
        <f>E25</f>
        <v/>
      </c>
      <c r="F32" s="16">
        <f>F25</f>
        <v/>
      </c>
    </row>
    <row r="33">
      <c r="A33" t="inlineStr">
        <is>
          <t>CUSTOMER SUCCESS COST (for COGS)</t>
        </is>
      </c>
      <c r="B33" s="16">
        <f>B29</f>
        <v/>
      </c>
      <c r="C33" s="16">
        <f>C29</f>
        <v/>
      </c>
      <c r="D33" s="16">
        <f>D29</f>
        <v/>
      </c>
      <c r="E33" s="16">
        <f>E29</f>
        <v/>
      </c>
      <c r="F33" s="16">
        <f>F29</f>
        <v/>
      </c>
    </row>
    <row r="34">
      <c r="A34" t="inlineStr">
        <is>
          <t>SALES &amp; MARKETING COST (for OpEx)</t>
        </is>
      </c>
      <c r="B34" s="16">
        <f>B27</f>
        <v/>
      </c>
      <c r="C34" s="16">
        <f>C27</f>
        <v/>
      </c>
      <c r="D34" s="16">
        <f>D27</f>
        <v/>
      </c>
      <c r="E34" s="16">
        <f>E27</f>
        <v/>
      </c>
      <c r="F34" s="16">
        <f>F27</f>
        <v/>
      </c>
    </row>
    <row r="35">
      <c r="A35" t="inlineStr">
        <is>
          <t>G&amp;A COST (for OpEx)</t>
        </is>
      </c>
      <c r="B35" s="16">
        <f>B30</f>
        <v/>
      </c>
      <c r="C35" s="16">
        <f>C30</f>
        <v/>
      </c>
      <c r="D35" s="16">
        <f>D30</f>
        <v/>
      </c>
      <c r="E35" s="16">
        <f>E30</f>
        <v/>
      </c>
      <c r="F35" s="16">
        <f>F30</f>
        <v/>
      </c>
    </row>
    <row r="36"/>
    <row r="37">
      <c r="A37" t="inlineStr">
        <is>
          <t>Revenue per Employee</t>
        </is>
      </c>
      <c r="B37" s="16">
        <f>'Revenue Model'!B23/B10</f>
        <v/>
      </c>
      <c r="C37" s="16">
        <f>'Revenue Model'!C23/C10</f>
        <v/>
      </c>
      <c r="D37" s="16">
        <f>'Revenue Model'!D23/D10</f>
        <v/>
      </c>
      <c r="E37" s="16">
        <f>'Revenue Model'!E23/E10</f>
        <v/>
      </c>
      <c r="F37" s="16">
        <f>'Revenue Model'!F23/F10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546A"/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8" t="inlineStr">
        <is>
          <t>CASH FLOW STATEMENT</t>
        </is>
      </c>
    </row>
    <row r="2"/>
    <row r="3">
      <c r="A3" s="23" t="inlineStr"/>
      <c r="B3" s="23" t="inlineStr">
        <is>
          <t>Year 0</t>
        </is>
      </c>
      <c r="C3" s="23" t="inlineStr">
        <is>
          <t>Year 1</t>
        </is>
      </c>
      <c r="D3" s="23" t="inlineStr">
        <is>
          <t>Year 2</t>
        </is>
      </c>
      <c r="E3" s="23" t="inlineStr">
        <is>
          <t>Year 3</t>
        </is>
      </c>
      <c r="F3" s="23" t="inlineStr">
        <is>
          <t>Year 4</t>
        </is>
      </c>
      <c r="G3" s="23" t="inlineStr">
        <is>
          <t>Year 5</t>
        </is>
      </c>
    </row>
    <row r="4">
      <c r="A4" t="inlineStr">
        <is>
          <t>Beginning Cash Balance</t>
        </is>
      </c>
      <c r="B4" s="11" t="n">
        <v>15000000</v>
      </c>
      <c r="C4" s="18">
        <f>B18</f>
        <v/>
      </c>
      <c r="D4" s="18">
        <f>C18</f>
        <v/>
      </c>
      <c r="E4" s="18">
        <f>D18</f>
        <v/>
      </c>
      <c r="F4" s="18">
        <f>E18</f>
        <v/>
      </c>
    </row>
    <row r="5"/>
    <row r="6">
      <c r="A6" s="4" t="inlineStr">
        <is>
          <t>Cash Inflows</t>
        </is>
      </c>
    </row>
    <row r="7">
      <c r="A7" t="inlineStr">
        <is>
          <t>Revenue (cash collected)</t>
        </is>
      </c>
      <c r="C7" s="16">
        <f>'Revenue Model'!C23*0.95</f>
        <v/>
      </c>
      <c r="D7" s="16">
        <f>'Revenue Model'!D23*0.95</f>
        <v/>
      </c>
      <c r="E7" s="16">
        <f>'Revenue Model'!E23*0.95</f>
        <v/>
      </c>
      <c r="F7" s="16">
        <f>'Revenue Model'!F23*0.95</f>
        <v/>
      </c>
    </row>
    <row r="8"/>
    <row r="9">
      <c r="A9" s="4" t="inlineStr">
        <is>
          <t>Cash Outflows</t>
        </is>
      </c>
    </row>
    <row r="10">
      <c r="A10" t="inlineStr">
        <is>
          <t>Operating Expenses</t>
        </is>
      </c>
      <c r="C10" s="18">
        <f>'P&amp;L'!C18</f>
        <v/>
      </c>
      <c r="D10" s="18">
        <f>'P&amp;L'!D18</f>
        <v/>
      </c>
      <c r="E10" s="18">
        <f>'P&amp;L'!E18</f>
        <v/>
      </c>
      <c r="F10" s="18">
        <f>'P&amp;L'!F18</f>
        <v/>
      </c>
    </row>
    <row r="11">
      <c r="A11" t="inlineStr">
        <is>
          <t>Cost of Revenue</t>
        </is>
      </c>
      <c r="C11" s="18">
        <f>'P&amp;L'!C10</f>
        <v/>
      </c>
      <c r="D11" s="18">
        <f>'P&amp;L'!D10</f>
        <v/>
      </c>
      <c r="E11" s="18">
        <f>'P&amp;L'!E10</f>
        <v/>
      </c>
      <c r="F11" s="18">
        <f>'P&amp;L'!F10</f>
        <v/>
      </c>
    </row>
    <row r="12">
      <c r="A12" s="11" t="n">
        <v>0</v>
      </c>
      <c r="B12" s="11" t="n">
        <v>500000</v>
      </c>
      <c r="C12" s="11" t="n">
        <v>600000</v>
      </c>
      <c r="D12" s="11" t="n">
        <v>700000</v>
      </c>
      <c r="E12" s="11" t="n">
        <v>800000</v>
      </c>
      <c r="F12" s="11" t="n">
        <v>900000</v>
      </c>
    </row>
    <row r="13">
      <c r="A13" s="27" t="n">
        <v>0</v>
      </c>
      <c r="B13" s="27" t="n">
        <v>0</v>
      </c>
      <c r="C13" s="27" t="n">
        <v>0</v>
      </c>
      <c r="D13" s="27" t="n">
        <v>0</v>
      </c>
      <c r="E13" s="27" t="n">
        <v>0</v>
      </c>
      <c r="F13" s="27" t="n">
        <v>0</v>
      </c>
    </row>
    <row r="14">
      <c r="A14" t="inlineStr">
        <is>
          <t>Total Cash Outflows</t>
        </is>
      </c>
      <c r="C14" s="16">
        <f>C10+C11+C12+C13</f>
        <v/>
      </c>
      <c r="D14" s="16">
        <f>D10+D11+D12+D13</f>
        <v/>
      </c>
      <c r="E14" s="16">
        <f>E10+E11+E12+E13</f>
        <v/>
      </c>
      <c r="F14" s="16">
        <f>F10+F11+F12+F13</f>
        <v/>
      </c>
    </row>
    <row r="15"/>
    <row r="16">
      <c r="A16" t="inlineStr">
        <is>
          <t>Net Cash Flow</t>
        </is>
      </c>
      <c r="C16" s="16">
        <f>C7-C14</f>
        <v/>
      </c>
      <c r="D16" s="16">
        <f>D7-D14</f>
        <v/>
      </c>
      <c r="E16" s="16">
        <f>E7-E14</f>
        <v/>
      </c>
      <c r="F16" s="16">
        <f>F7-F14</f>
        <v/>
      </c>
    </row>
    <row r="17"/>
    <row r="18">
      <c r="A18" t="inlineStr">
        <is>
          <t>Ending Cash Balance</t>
        </is>
      </c>
      <c r="B18" s="27" t="n">
        <v>15000000</v>
      </c>
      <c r="C18" s="17">
        <f>B18+C16</f>
        <v/>
      </c>
      <c r="D18" s="17">
        <f>C18+D16</f>
        <v/>
      </c>
      <c r="E18" s="17">
        <f>D18+E16</f>
        <v/>
      </c>
      <c r="F18" s="17">
        <f>E18+F16</f>
        <v/>
      </c>
    </row>
    <row r="19"/>
    <row r="20">
      <c r="A20" t="inlineStr">
        <is>
          <t>Months of Runway</t>
        </is>
      </c>
      <c r="C20" s="22">
        <f>IF(C14&gt;0,'Positive CF',C18/=ABS(C14/12))</f>
        <v/>
      </c>
      <c r="D20" s="22">
        <f>IF(D14&gt;0,'Positive CF',D18/=ABS(D14/12))</f>
        <v/>
      </c>
      <c r="E20" s="22">
        <f>IF(E14&gt;0,'Positive CF',E18/=ABS(E14/12))</f>
        <v/>
      </c>
      <c r="F20" s="22">
        <f>IF(F14&gt;0,'Positive CF',F18/=ABS(F14/12))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064A2"/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</cols>
  <sheetData>
    <row r="1">
      <c r="A1" s="8" t="inlineStr">
        <is>
          <t>KEY ASSUMPTIONS &amp; INPUTS</t>
        </is>
      </c>
    </row>
    <row r="2"/>
    <row r="3">
      <c r="A3" s="9" t="inlineStr">
        <is>
          <t>MARKET &amp; BUSINESS</t>
        </is>
      </c>
    </row>
    <row r="4">
      <c r="A4" s="10" t="inlineStr">
        <is>
          <t>Total Addressable Market (TAM)</t>
        </is>
      </c>
      <c r="B4" s="11" t="n">
        <v>47000000000</v>
      </c>
    </row>
    <row r="5">
      <c r="A5" s="10" t="inlineStr">
        <is>
          <t>Serviceable Addressable Market (SAM)</t>
        </is>
      </c>
      <c r="B5" s="11" t="n">
        <v>5000000000</v>
      </c>
    </row>
    <row r="6">
      <c r="A6" s="10" t="inlineStr">
        <is>
          <t>Target Market Penetration Year 5</t>
        </is>
      </c>
      <c r="B6" s="20" t="n">
        <v>0.02</v>
      </c>
    </row>
    <row r="7"/>
    <row r="8">
      <c r="A8" s="26" t="inlineStr">
        <is>
          <t>PRICING STRATEGY</t>
        </is>
      </c>
    </row>
    <row r="9">
      <c r="A9" s="10" t="inlineStr">
        <is>
          <t>Essentials Tier Monthly Price</t>
        </is>
      </c>
      <c r="B9" s="14" t="n">
        <v>499</v>
      </c>
    </row>
    <row r="10">
      <c r="A10" s="10" t="inlineStr">
        <is>
          <t>Professional Tier Monthly Price</t>
        </is>
      </c>
      <c r="B10" s="14" t="n">
        <v>999</v>
      </c>
    </row>
    <row r="11">
      <c r="A11" s="10" t="inlineStr">
        <is>
          <t>Enterprise Tier Monthly Price</t>
        </is>
      </c>
      <c r="B11" s="11" t="n">
        <v>2499</v>
      </c>
    </row>
    <row r="12">
      <c r="A12" s="10" t="inlineStr">
        <is>
          <t>Transaction Fee per Claim</t>
        </is>
      </c>
      <c r="B12" s="20" t="n">
        <v>0.5</v>
      </c>
    </row>
    <row r="13">
      <c r="A13" s="10" t="inlineStr">
        <is>
          <t>Professional Services per Customer</t>
        </is>
      </c>
      <c r="B13" s="11" t="n">
        <v>5000</v>
      </c>
    </row>
    <row r="14"/>
    <row r="15">
      <c r="A15" s="26" t="inlineStr">
        <is>
          <t>CUSTOMER ACQUISITION</t>
        </is>
      </c>
    </row>
    <row r="16">
      <c r="A16" s="10" t="inlineStr">
        <is>
          <t>Year 1 New Customers</t>
        </is>
      </c>
      <c r="B16" s="14" t="n">
        <v>40</v>
      </c>
    </row>
    <row r="17">
      <c r="A17" s="10" t="inlineStr">
        <is>
          <t>Year 2 New Customers</t>
        </is>
      </c>
      <c r="B17" s="14" t="n">
        <v>80</v>
      </c>
    </row>
    <row r="18">
      <c r="A18" s="10" t="inlineStr">
        <is>
          <t>Year 3 New Customers</t>
        </is>
      </c>
      <c r="B18" s="14" t="n">
        <v>180</v>
      </c>
    </row>
    <row r="19">
      <c r="A19" s="10" t="inlineStr">
        <is>
          <t>Year 4 New Customers</t>
        </is>
      </c>
      <c r="B19" s="14" t="n">
        <v>300</v>
      </c>
    </row>
    <row r="20">
      <c r="A20" s="10" t="inlineStr">
        <is>
          <t>Year 5 New Customers</t>
        </is>
      </c>
      <c r="B20" s="14" t="n">
        <v>400</v>
      </c>
    </row>
    <row r="21"/>
    <row r="22">
      <c r="A22" s="26" t="inlineStr">
        <is>
          <t>CHURN RATES (MONTHLY)</t>
        </is>
      </c>
    </row>
    <row r="23">
      <c r="A23" s="10" t="inlineStr">
        <is>
          <t>Year 1 Churn Rate</t>
        </is>
      </c>
      <c r="B23" s="20" t="n">
        <v>0.02</v>
      </c>
    </row>
    <row r="24">
      <c r="A24" s="10" t="inlineStr">
        <is>
          <t>Year 2 Churn Rate</t>
        </is>
      </c>
      <c r="B24" s="20" t="n">
        <v>0.015</v>
      </c>
    </row>
    <row r="25">
      <c r="A25" s="10" t="inlineStr">
        <is>
          <t>Year 3-5 Churn Rate</t>
        </is>
      </c>
      <c r="B25" s="20" t="n">
        <v>0.012</v>
      </c>
    </row>
    <row r="26"/>
    <row r="27">
      <c r="A27" s="26" t="inlineStr">
        <is>
          <t>COST STRUCTURE</t>
        </is>
      </c>
    </row>
    <row r="28">
      <c r="A28" s="10" t="inlineStr">
        <is>
          <t>Infrastructure Cost % of Revenue Y1</t>
        </is>
      </c>
      <c r="B28" s="20" t="n">
        <v>0.15</v>
      </c>
    </row>
    <row r="29">
      <c r="A29" s="10" t="inlineStr">
        <is>
          <t>Infrastructure Cost % of Revenue Y5</t>
        </is>
      </c>
      <c r="B29" s="20" t="n">
        <v>0.1</v>
      </c>
    </row>
    <row r="30">
      <c r="A30" s="10" t="inlineStr">
        <is>
          <t>Payment Processing Fee</t>
        </is>
      </c>
      <c r="B30" s="20" t="n">
        <v>0.029</v>
      </c>
    </row>
    <row r="31">
      <c r="A31" s="10" t="inlineStr">
        <is>
          <t>Benefits Multiplier</t>
        </is>
      </c>
      <c r="B31" s="11" t="n">
        <v>1.3</v>
      </c>
    </row>
    <row r="32">
      <c r="A32" s="10" t="inlineStr">
        <is>
          <t>Tax Rate</t>
        </is>
      </c>
      <c r="B32" s="20" t="n">
        <v>0.21</v>
      </c>
    </row>
    <row r="33"/>
    <row r="34">
      <c r="A34" s="26" t="inlineStr">
        <is>
          <t>HEADCOUNT</t>
        </is>
      </c>
    </row>
    <row r="35">
      <c r="A35" s="10" t="inlineStr">
        <is>
          <t>Initial Engineering Headcount</t>
        </is>
      </c>
      <c r="B35" s="14" t="n">
        <v>4</v>
      </c>
    </row>
    <row r="36">
      <c r="A36" s="10" t="inlineStr">
        <is>
          <t>Year 5 Engineering Headcount</t>
        </is>
      </c>
      <c r="B36" s="14" t="n">
        <v>25</v>
      </c>
    </row>
    <row r="37">
      <c r="A37" s="10" t="inlineStr">
        <is>
          <t>Initial Total Company Size</t>
        </is>
      </c>
      <c r="B37" s="14" t="n">
        <v>12</v>
      </c>
    </row>
    <row r="38">
      <c r="A38" s="10" t="inlineStr">
        <is>
          <t>Year 5 Total Company Size</t>
        </is>
      </c>
      <c r="B38" s="14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2026-04-12T21:38:03Z</dcterms:created>
  <dcterms:modified xmlns:dcterms="http://purl.org/dc/terms/" xmlns:xsi="http://www.w3.org/2001/XMLSchema-instance" xsi:type="dcterms:W3CDTF">2026-04-12T21:38:14Z</dcterms:modified>
</cp:coreProperties>
</file>